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시보드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월 투자 배분" sheetId="3" state="visible" r:id="rId3"/>
    <sheet xmlns:r="http://schemas.openxmlformats.org/officeDocument/2006/relationships" name="계좌 및 현금" sheetId="4" state="visible" r:id="rId4"/>
    <sheet xmlns:r="http://schemas.openxmlformats.org/officeDocument/2006/relationships" name="자산 기록" sheetId="5" state="visible" r:id="rId5"/>
    <sheet xmlns:r="http://schemas.openxmlformats.org/officeDocument/2006/relationships" name="설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"/>
    <numFmt numFmtId="165" formatCode="0.0%"/>
    <numFmt numFmtId="166" formatCode="+0.0%;-0.0%;0.0%"/>
  </numFmts>
  <fonts count="7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b val="1"/>
      <sz val="10"/>
    </font>
    <font>
      <name val="맑은 고딕"/>
      <b val="1"/>
      <color rgb="001F4E79"/>
      <sz val="11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1" pivotButton="0" quotePrefix="0" xfId="0"/>
    <xf numFmtId="164" fontId="2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10" fontId="2" fillId="0" borderId="1" applyAlignment="1" pivotButton="0" quotePrefix="0" xfId="0">
      <alignment horizontal="right"/>
    </xf>
    <xf numFmtId="0" fontId="4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right"/>
    </xf>
    <xf numFmtId="165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  <xf numFmtId="4" fontId="5" fillId="5" borderId="1" pivotButton="0" quotePrefix="0" xfId="0"/>
    <xf numFmtId="164" fontId="2" fillId="0" borderId="1" pivotButton="0" quotePrefix="0" xfId="0"/>
    <xf numFmtId="10" fontId="2" fillId="0" borderId="1" pivotButton="0" quotePrefix="0" xfId="0"/>
    <xf numFmtId="165" fontId="2" fillId="0" borderId="1" pivotButton="0" quotePrefix="0" xfId="0"/>
    <xf numFmtId="165" fontId="5" fillId="5" borderId="1" pivotButton="0" quotePrefix="0" xfId="0"/>
    <xf numFmtId="166" fontId="2" fillId="0" borderId="1" pivotButton="0" quotePrefix="0" xfId="0"/>
    <xf numFmtId="164" fontId="5" fillId="0" borderId="1" pivotButton="0" quotePrefix="0" xfId="0"/>
    <xf numFmtId="10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0" fontId="5" fillId="0" borderId="1" pivotButton="0" quotePrefix="0" xfId="0"/>
    <xf numFmtId="164" fontId="2" fillId="5" borderId="1" pivotButton="0" quotePrefix="0" xfId="0"/>
    <xf numFmtId="164" fontId="2" fillId="6" borderId="1" pivotButton="0" quotePrefix="0" xfId="0"/>
    <xf numFmtId="0" fontId="6" fillId="0" borderId="0" pivotButton="0" quotePrefix="0" xfId="0"/>
    <xf numFmtId="0" fontId="5" fillId="0" borderId="1" applyAlignment="1" pivotButton="0" quotePrefix="0" xfId="0">
      <alignment horizontal="center"/>
    </xf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26" customWidth="1" min="3" max="3"/>
    <col width="19" customWidth="1" min="4" max="4"/>
    <col width="22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개인 투자 포트폴리오 트래커 - 대시보드</t>
        </is>
      </c>
    </row>
    <row r="2"/>
    <row r="3">
      <c r="A3" s="2" t="inlineStr">
        <is>
          <t>기준 통화</t>
        </is>
      </c>
      <c r="B3">
        <f>설정!B2</f>
        <v/>
      </c>
      <c r="D3" s="2" t="inlineStr">
        <is>
          <t>마지막 갱신 시각</t>
        </is>
      </c>
      <c r="E3">
        <f>설정!B8</f>
        <v/>
      </c>
    </row>
    <row r="4"/>
    <row r="5">
      <c r="A5" s="3" t="inlineStr">
        <is>
          <t>■ 핵심 투자 요약 지표</t>
        </is>
      </c>
      <c r="B5" s="4" t="inlineStr">
        <is>
          <t>항목</t>
        </is>
      </c>
      <c r="C5" s="4" t="inlineStr">
        <is>
          <t>금액 / 수치</t>
        </is>
      </c>
      <c r="E5" s="3" t="inlineStr">
        <is>
          <t>■ 계좌별 자산 요약</t>
        </is>
      </c>
    </row>
    <row r="6">
      <c r="B6" s="5" t="inlineStr">
        <is>
          <t>누적 투자 원금</t>
        </is>
      </c>
      <c r="C6" s="6">
        <f>SUM(포트폴리오!G4:G100)</f>
        <v/>
      </c>
      <c r="E6" s="7" t="inlineStr">
        <is>
          <t>계좌 구분</t>
        </is>
      </c>
      <c r="F6" s="7" t="inlineStr">
        <is>
          <t>투자 자산</t>
        </is>
      </c>
      <c r="G6" s="7" t="inlineStr">
        <is>
          <t>현금 잔액</t>
        </is>
      </c>
      <c r="H6" s="7" t="inlineStr">
        <is>
          <t>합계</t>
        </is>
      </c>
    </row>
    <row r="7">
      <c r="B7" s="5" t="inlineStr">
        <is>
          <t>현재 총자산</t>
        </is>
      </c>
      <c r="C7" s="6">
        <f>C8+C9</f>
        <v/>
      </c>
      <c r="E7" s="8" t="inlineStr">
        <is>
          <t>ISA</t>
        </is>
      </c>
      <c r="F7" s="9">
        <f>SUMIF(포트폴리오!$A$4:$A$100, "ISA", 포트폴리오!$J$4:$J$100)</f>
        <v/>
      </c>
      <c r="G7" s="9">
        <f>SUMIF('계좌 및 현금'!$A$4:$A$50, "ISA", '계좌 및 현금'!$F$4:$F$50)</f>
        <v/>
      </c>
      <c r="H7" s="6">
        <f>F7+G7</f>
        <v/>
      </c>
    </row>
    <row r="8">
      <c r="B8" s="5" t="inlineStr">
        <is>
          <t>투자 자산 평가액</t>
        </is>
      </c>
      <c r="C8" s="6">
        <f>SUM(포트폴리오!J4:J100)</f>
        <v/>
      </c>
      <c r="E8" s="8" t="inlineStr">
        <is>
          <t>금현물계좌</t>
        </is>
      </c>
      <c r="F8" s="9">
        <f>SUMIF(포트폴리오!$A$4:$A$100, "금현물계좌", 포트폴리오!$J$4:$J$100)</f>
        <v/>
      </c>
      <c r="G8" s="9">
        <f>SUMIF('계좌 및 현금'!$A$4:$A$50, "금현물계좌", '계좌 및 현금'!$F$4:$F$50)</f>
        <v/>
      </c>
      <c r="H8" s="6">
        <f>F8+G8</f>
        <v/>
      </c>
    </row>
    <row r="9">
      <c r="B9" s="5" t="inlineStr">
        <is>
          <t>현금성 자산</t>
        </is>
      </c>
      <c r="C9" s="6">
        <f>SUM('계좌 및 현금'!F4:F50)</f>
        <v/>
      </c>
      <c r="E9" s="8" t="inlineStr">
        <is>
          <t>CMA</t>
        </is>
      </c>
      <c r="F9" s="9">
        <f>SUMIF(포트폴리오!$A$4:$A$100, "CMA", 포트폴리오!$J$4:$J$100)</f>
        <v/>
      </c>
      <c r="G9" s="9">
        <f>SUMIF('계좌 및 현금'!$A$4:$A$50, "CMA", '계좌 및 현금'!$F$4:$F$50)</f>
        <v/>
      </c>
      <c r="H9" s="6">
        <f>F9+G9</f>
        <v/>
      </c>
    </row>
    <row r="10">
      <c r="B10" s="5" t="inlineStr">
        <is>
          <t>평가 손익</t>
        </is>
      </c>
      <c r="C10" s="6">
        <f>C8-C6</f>
        <v/>
      </c>
      <c r="E10" s="8" t="inlineStr">
        <is>
          <t>해외계좌</t>
        </is>
      </c>
      <c r="F10" s="9">
        <f>SUMIF(포트폴리오!$A$4:$A$100, "해외계좌", 포트폴리오!$J$4:$J$100)</f>
        <v/>
      </c>
      <c r="G10" s="9">
        <f>SUMIF('계좌 및 현금'!$A$4:$A$50, "해외계좌", '계좌 및 현금'!$F$4:$F$50)</f>
        <v/>
      </c>
      <c r="H10" s="6">
        <f>F10+G10</f>
        <v/>
      </c>
    </row>
    <row r="11">
      <c r="B11" s="5" t="inlineStr">
        <is>
          <t>수익률</t>
        </is>
      </c>
      <c r="C11" s="10">
        <f>IF(C6&gt;0, C10/C6, "-")</f>
        <v/>
      </c>
      <c r="E11" s="8" t="inlineStr">
        <is>
          <t>일반/현금</t>
        </is>
      </c>
      <c r="F11" s="9">
        <f>SUMIF(포트폴리오!$A$4:$A$100, "일반/현금", 포트폴리오!$J$4:$J$100)</f>
        <v/>
      </c>
      <c r="G11" s="9">
        <f>SUMIF('계좌 및 현금'!$A$4:$A$50, "일반/현금", '계좌 및 현금'!$F$4:$F$50)</f>
        <v/>
      </c>
      <c r="H11" s="6">
        <f>F11+G11</f>
        <v/>
      </c>
    </row>
    <row r="12">
      <c r="B12" s="5" t="inlineStr">
        <is>
          <t>1일 자산 변화</t>
        </is>
      </c>
      <c r="C12" s="6">
        <f>IF(COUNTA('자산 기록'!A4:A100)&gt;=2, C7-INDEX('자산 기록'!D4:D100, COUNTA('자산 기록'!A4:A100)-1), "기록 부족")</f>
        <v/>
      </c>
      <c r="E12" s="11" t="inlineStr">
        <is>
          <t>합계</t>
        </is>
      </c>
      <c r="F12" s="12">
        <f>SUM(F7:F11)</f>
        <v/>
      </c>
      <c r="G12" s="12">
        <f>SUM(G7:G11)</f>
        <v/>
      </c>
      <c r="H12" s="12">
        <f>SUM(H7:H11)</f>
        <v/>
      </c>
    </row>
    <row r="13">
      <c r="B13" s="5" t="inlineStr">
        <is>
          <t>1주 자산 변화</t>
        </is>
      </c>
      <c r="C13" s="6">
        <f>IF(COUNTA('자산 기록'!A4:A100)&gt;=5, C7-INDEX('자산 기록'!D4:D100, MAX(1, COUNTA('자산 기록'!A4:A100)-5)), "기록 부족")</f>
        <v/>
      </c>
    </row>
    <row r="14">
      <c r="B14" s="5" t="inlineStr">
        <is>
          <t>1개월 자산 변화</t>
        </is>
      </c>
      <c r="C14" s="6">
        <f>IF(COUNTA('자산 기록'!A4:A100)&gt;=20, C7-INDEX('자산 기록'!D4:D100, MAX(1, COUNTA('자산 기록'!A4:A100)-20)), "기록 부족")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0" customWidth="1" min="3" max="3"/>
    <col width="12" customWidth="1" min="4" max="4"/>
    <col width="14" customWidth="1" min="5" max="5"/>
    <col width="116" customWidth="1" min="6" max="6"/>
    <col width="19" customWidth="1" min="7" max="7"/>
    <col width="12" customWidth="1" min="8" max="8"/>
    <col width="12" customWidth="1" min="9" max="9"/>
    <col width="19" customWidth="1" min="10" max="10"/>
    <col width="19" customWidth="1" min="11" max="11"/>
    <col width="26" customWidth="1" min="12" max="12"/>
    <col width="50" customWidth="1" min="13" max="13"/>
    <col width="12" customWidth="1" min="14" max="14"/>
    <col width="26" customWidth="1" min="15" max="15"/>
    <col width="22" customWidth="1" min="16" max="16"/>
  </cols>
  <sheetData>
    <row r="1">
      <c r="A1" s="1" t="inlineStr">
        <is>
          <t>보유 포트폴리오 관리</t>
        </is>
      </c>
    </row>
    <row r="2">
      <c r="A2" t="inlineStr">
        <is>
          <t>목표 비중 합계:</t>
        </is>
      </c>
      <c r="B2" s="13">
        <f>SUM(N4:N100)</f>
        <v/>
      </c>
      <c r="C2" t="inlineStr">
        <is>
          <t>미배분 비중:</t>
        </is>
      </c>
      <c r="D2" s="13">
        <f>1-B2</f>
        <v/>
      </c>
      <c r="E2" t="inlineStr">
        <is>
          <t>상태 경고:</t>
        </is>
      </c>
      <c r="F2" s="2">
        <f>IF(B2&gt;1.0001, "⚠️ 목표 비중 100% 초과!", IF(B2&lt;0.9999, "⚠️ 목표 비중 미달 (정규화 배분)", "✅ 정상 (100%)"))</f>
        <v/>
      </c>
    </row>
    <row r="3">
      <c r="A3" s="14" t="inlineStr">
        <is>
          <t>계좌</t>
        </is>
      </c>
      <c r="B3" s="14" t="inlineStr">
        <is>
          <t>티커/코드</t>
        </is>
      </c>
      <c r="C3" s="14" t="inlineStr">
        <is>
          <t>종목명</t>
        </is>
      </c>
      <c r="D3" s="14" t="inlineStr">
        <is>
          <t>자산 유형</t>
        </is>
      </c>
      <c r="E3" s="14" t="inlineStr">
        <is>
          <t>통화</t>
        </is>
      </c>
      <c r="F3" s="14" t="inlineStr">
        <is>
          <t>보유 수량</t>
        </is>
      </c>
      <c r="G3" s="14" t="inlineStr">
        <is>
          <t>누적 매입 금액</t>
        </is>
      </c>
      <c r="H3" s="14" t="inlineStr">
        <is>
          <t>현재가</t>
        </is>
      </c>
      <c r="I3" s="14" t="inlineStr">
        <is>
          <t>기준 환율</t>
        </is>
      </c>
      <c r="J3" s="14" t="inlineStr">
        <is>
          <t>평가액(KRW)</t>
        </is>
      </c>
      <c r="K3" s="14" t="inlineStr">
        <is>
          <t>평가 손익</t>
        </is>
      </c>
      <c r="L3" s="14" t="inlineStr">
        <is>
          <t>수익률</t>
        </is>
      </c>
      <c r="M3" s="14" t="inlineStr">
        <is>
          <t>실제 비중</t>
        </is>
      </c>
      <c r="N3" s="14" t="inlineStr">
        <is>
          <t>목표 비중</t>
        </is>
      </c>
      <c r="O3" s="14" t="inlineStr">
        <is>
          <t>비중 차이</t>
        </is>
      </c>
      <c r="P3" s="14" t="inlineStr">
        <is>
          <t>조회 상태/갱신</t>
        </is>
      </c>
    </row>
    <row r="4">
      <c r="A4" s="15" t="inlineStr">
        <is>
          <t>ISA</t>
        </is>
      </c>
      <c r="B4" s="15" t="inlineStr">
        <is>
          <t>005930</t>
        </is>
      </c>
      <c r="C4" s="16" t="inlineStr">
        <is>
          <t>삼성전자</t>
        </is>
      </c>
      <c r="D4" s="15" t="inlineStr">
        <is>
          <t>주식</t>
        </is>
      </c>
      <c r="E4" s="15" t="inlineStr">
        <is>
          <t>KRW</t>
        </is>
      </c>
      <c r="F4" s="17" t="n">
        <v>50</v>
      </c>
      <c r="G4" s="18" t="n">
        <v>3500000</v>
      </c>
      <c r="H4" s="19" t="n">
        <v>72000</v>
      </c>
      <c r="I4" s="19" t="n">
        <v>1</v>
      </c>
      <c r="J4" s="20">
        <f>IF(B4="","",F4*H4*I4)</f>
        <v/>
      </c>
      <c r="K4" s="20">
        <f>IF(B4="","",J4-G4)</f>
        <v/>
      </c>
      <c r="L4" s="21">
        <f>IF(G4&gt;0,K4/G4,"-")</f>
        <v/>
      </c>
      <c r="M4" s="22">
        <f>IF(SUM($J$4:$J$100)&gt;0,J4/SUM($J$4:$J$100),0)</f>
        <v/>
      </c>
      <c r="N4" s="23" t="n">
        <v>0.2</v>
      </c>
      <c r="O4" s="24">
        <f>IF(N4="","",M4-N4)</f>
        <v/>
      </c>
      <c r="P4" s="8" t="inlineStr">
        <is>
          <t>수동 입력/구글연동</t>
        </is>
      </c>
    </row>
    <row r="5">
      <c r="A5" s="15" t="inlineStr">
        <is>
          <t>ISA</t>
        </is>
      </c>
      <c r="B5" s="15" t="inlineStr">
        <is>
          <t>379800</t>
        </is>
      </c>
      <c r="C5" s="16" t="inlineStr">
        <is>
          <t>TIGER 미국S&amp;P500</t>
        </is>
      </c>
      <c r="D5" s="15" t="inlineStr">
        <is>
          <t>ETF</t>
        </is>
      </c>
      <c r="E5" s="15" t="inlineStr">
        <is>
          <t>KRW</t>
        </is>
      </c>
      <c r="F5" s="17" t="n">
        <v>100</v>
      </c>
      <c r="G5" s="18" t="n">
        <v>1400000</v>
      </c>
      <c r="H5" s="19" t="n">
        <v>16500</v>
      </c>
      <c r="I5" s="19" t="n">
        <v>1</v>
      </c>
      <c r="J5" s="20">
        <f>IF(B5="","",F5*H5*I5)</f>
        <v/>
      </c>
      <c r="K5" s="20">
        <f>IF(B5="","",J5-G5)</f>
        <v/>
      </c>
      <c r="L5" s="21">
        <f>IF(G5&gt;0,K5/G5,"-")</f>
        <v/>
      </c>
      <c r="M5" s="22">
        <f>IF(SUM($J$4:$J$100)&gt;0,J5/SUM($J$4:$J$100),0)</f>
        <v/>
      </c>
      <c r="N5" s="23" t="n">
        <v>0.25</v>
      </c>
      <c r="O5" s="24">
        <f>IF(N5="","",M5-N5)</f>
        <v/>
      </c>
      <c r="P5" s="8" t="inlineStr">
        <is>
          <t>수동 입력/구글연동</t>
        </is>
      </c>
    </row>
    <row r="6">
      <c r="A6" s="15" t="inlineStr">
        <is>
          <t>해외계좌</t>
        </is>
      </c>
      <c r="B6" s="15" t="inlineStr">
        <is>
          <t>QQQ</t>
        </is>
      </c>
      <c r="C6" s="16" t="inlineStr">
        <is>
          <t>Invesco QQQ Trust</t>
        </is>
      </c>
      <c r="D6" s="15" t="inlineStr">
        <is>
          <t>ETF</t>
        </is>
      </c>
      <c r="E6" s="15" t="inlineStr">
        <is>
          <t>USD</t>
        </is>
      </c>
      <c r="F6" s="17" t="n">
        <v>10</v>
      </c>
      <c r="G6" s="18" t="n">
        <v>5200000</v>
      </c>
      <c r="H6" s="19" t="n">
        <v>480</v>
      </c>
      <c r="I6" s="19" t="n">
        <v>1380</v>
      </c>
      <c r="J6" s="20">
        <f>IF(B6="","",F6*H6*I6)</f>
        <v/>
      </c>
      <c r="K6" s="20">
        <f>IF(B6="","",J6-G6)</f>
        <v/>
      </c>
      <c r="L6" s="21">
        <f>IF(G6&gt;0,K6/G6,"-")</f>
        <v/>
      </c>
      <c r="M6" s="22">
        <f>IF(SUM($J$4:$J$100)&gt;0,J6/SUM($J$4:$J$100),0)</f>
        <v/>
      </c>
      <c r="N6" s="23" t="n">
        <v>0.3</v>
      </c>
      <c r="O6" s="24">
        <f>IF(N6="","",M6-N6)</f>
        <v/>
      </c>
      <c r="P6" s="8" t="inlineStr">
        <is>
          <t>수동 입력/구글연동</t>
        </is>
      </c>
    </row>
    <row r="7">
      <c r="A7" s="15" t="inlineStr">
        <is>
          <t>해외계좌</t>
        </is>
      </c>
      <c r="B7" s="15" t="inlineStr">
        <is>
          <t>NVDA</t>
        </is>
      </c>
      <c r="C7" s="16" t="inlineStr">
        <is>
          <t>NVIDIA Corp</t>
        </is>
      </c>
      <c r="D7" s="15" t="inlineStr">
        <is>
          <t>주식</t>
        </is>
      </c>
      <c r="E7" s="15" t="inlineStr">
        <is>
          <t>USD</t>
        </is>
      </c>
      <c r="F7" s="17" t="n">
        <v>15</v>
      </c>
      <c r="G7" s="18" t="n">
        <v>2500000</v>
      </c>
      <c r="H7" s="19" t="n">
        <v>130</v>
      </c>
      <c r="I7" s="19" t="n">
        <v>1380</v>
      </c>
      <c r="J7" s="20">
        <f>IF(B7="","",F7*H7*I7)</f>
        <v/>
      </c>
      <c r="K7" s="20">
        <f>IF(B7="","",J7-G7)</f>
        <v/>
      </c>
      <c r="L7" s="21">
        <f>IF(G7&gt;0,K7/G7,"-")</f>
        <v/>
      </c>
      <c r="M7" s="22">
        <f>IF(SUM($J$4:$J$100)&gt;0,J7/SUM($J$4:$J$100),0)</f>
        <v/>
      </c>
      <c r="N7" s="23" t="n">
        <v>0.15</v>
      </c>
      <c r="O7" s="24">
        <f>IF(N7="","",M7-N7)</f>
        <v/>
      </c>
      <c r="P7" s="8" t="inlineStr">
        <is>
          <t>수동 입력/구글연동</t>
        </is>
      </c>
    </row>
    <row r="8">
      <c r="A8" s="15" t="inlineStr">
        <is>
          <t>금현물계좌</t>
        </is>
      </c>
      <c r="B8" s="15" t="inlineStr">
        <is>
          <t>금현물</t>
        </is>
      </c>
      <c r="C8" s="16" t="inlineStr">
        <is>
          <t>KRX 금 1g</t>
        </is>
      </c>
      <c r="D8" s="15" t="inlineStr">
        <is>
          <t>금</t>
        </is>
      </c>
      <c r="E8" s="15" t="inlineStr">
        <is>
          <t>KRW</t>
        </is>
      </c>
      <c r="F8" s="17" t="n">
        <v>20</v>
      </c>
      <c r="G8" s="18" t="n">
        <v>1900000</v>
      </c>
      <c r="H8" s="19" t="n">
        <v>105000</v>
      </c>
      <c r="I8" s="19" t="n">
        <v>1</v>
      </c>
      <c r="J8" s="20">
        <f>IF(B8="","",F8*H8*I8)</f>
        <v/>
      </c>
      <c r="K8" s="20">
        <f>IF(B8="","",J8-G8)</f>
        <v/>
      </c>
      <c r="L8" s="21">
        <f>IF(G8&gt;0,K8/G8,"-")</f>
        <v/>
      </c>
      <c r="M8" s="22">
        <f>IF(SUM($J$4:$J$100)&gt;0,J8/SUM($J$4:$J$100),0)</f>
        <v/>
      </c>
      <c r="N8" s="23" t="n">
        <v>0.1</v>
      </c>
      <c r="O8" s="24">
        <f>IF(N8="","",M8-N8)</f>
        <v/>
      </c>
      <c r="P8" s="8" t="inlineStr">
        <is>
          <t>수동 입력</t>
        </is>
      </c>
    </row>
    <row r="9">
      <c r="A9" s="16" t="inlineStr"/>
      <c r="B9" s="16" t="inlineStr"/>
      <c r="C9" s="16" t="n"/>
      <c r="D9" s="16" t="n"/>
      <c r="E9" s="16" t="n"/>
      <c r="F9" s="17" t="n"/>
      <c r="G9" s="18" t="n"/>
      <c r="H9" s="19" t="n"/>
      <c r="I9" s="19" t="n"/>
      <c r="J9" s="25">
        <f>IF(B9="","",F9*H9*I9)</f>
        <v/>
      </c>
      <c r="K9" s="25">
        <f>IF(B9="","",J9-G9)</f>
        <v/>
      </c>
      <c r="L9" s="26">
        <f>IF(G9&gt;0,K9/G9,"-")</f>
        <v/>
      </c>
      <c r="M9" s="27">
        <f>IF(SUM($J$4:$J$100)&gt;0,J9/SUM($J$4:$J$100),0)</f>
        <v/>
      </c>
      <c r="N9" s="23" t="n"/>
      <c r="O9" s="28">
        <f>IF(N9="","",M9-N9)</f>
        <v/>
      </c>
      <c r="P9" s="29" t="n"/>
    </row>
    <row r="10">
      <c r="A10" s="16" t="inlineStr"/>
      <c r="B10" s="16" t="inlineStr"/>
      <c r="C10" s="16" t="n"/>
      <c r="D10" s="16" t="n"/>
      <c r="E10" s="16" t="n"/>
      <c r="F10" s="17" t="n"/>
      <c r="G10" s="18" t="n"/>
      <c r="H10" s="19" t="n"/>
      <c r="I10" s="19" t="n"/>
      <c r="J10" s="25">
        <f>IF(B10="","",F10*H10*I10)</f>
        <v/>
      </c>
      <c r="K10" s="25">
        <f>IF(B10="","",J10-G10)</f>
        <v/>
      </c>
      <c r="L10" s="26">
        <f>IF(G10&gt;0,K10/G10,"-")</f>
        <v/>
      </c>
      <c r="M10" s="27">
        <f>IF(SUM($J$4:$J$100)&gt;0,J10/SUM($J$4:$J$100),0)</f>
        <v/>
      </c>
      <c r="N10" s="23" t="n"/>
      <c r="O10" s="28">
        <f>IF(N10="","",M10-N10)</f>
        <v/>
      </c>
      <c r="P10" s="29" t="n"/>
    </row>
    <row r="11">
      <c r="A11" s="16" t="inlineStr"/>
      <c r="B11" s="16" t="inlineStr"/>
      <c r="C11" s="16" t="n"/>
      <c r="D11" s="16" t="n"/>
      <c r="E11" s="16" t="n"/>
      <c r="F11" s="17" t="n"/>
      <c r="G11" s="18" t="n"/>
      <c r="H11" s="19" t="n"/>
      <c r="I11" s="19" t="n"/>
      <c r="J11" s="25">
        <f>IF(B11="","",F11*H11*I11)</f>
        <v/>
      </c>
      <c r="K11" s="25">
        <f>IF(B11="","",J11-G11)</f>
        <v/>
      </c>
      <c r="L11" s="26">
        <f>IF(G11&gt;0,K11/G11,"-")</f>
        <v/>
      </c>
      <c r="M11" s="27">
        <f>IF(SUM($J$4:$J$100)&gt;0,J11/SUM($J$4:$J$100),0)</f>
        <v/>
      </c>
      <c r="N11" s="23" t="n"/>
      <c r="O11" s="28">
        <f>IF(N11="","",M11-N11)</f>
        <v/>
      </c>
      <c r="P11" s="29" t="n"/>
    </row>
    <row r="12">
      <c r="A12" s="16" t="inlineStr"/>
      <c r="B12" s="16" t="inlineStr"/>
      <c r="C12" s="16" t="n"/>
      <c r="D12" s="16" t="n"/>
      <c r="E12" s="16" t="n"/>
      <c r="F12" s="17" t="n"/>
      <c r="G12" s="18" t="n"/>
      <c r="H12" s="19" t="n"/>
      <c r="I12" s="19" t="n"/>
      <c r="J12" s="25">
        <f>IF(B12="","",F12*H12*I12)</f>
        <v/>
      </c>
      <c r="K12" s="25">
        <f>IF(B12="","",J12-G12)</f>
        <v/>
      </c>
      <c r="L12" s="26">
        <f>IF(G12&gt;0,K12/G12,"-")</f>
        <v/>
      </c>
      <c r="M12" s="27">
        <f>IF(SUM($J$4:$J$100)&gt;0,J12/SUM($J$4:$J$100),0)</f>
        <v/>
      </c>
      <c r="N12" s="23" t="n"/>
      <c r="O12" s="28">
        <f>IF(N12="","",M12-N12)</f>
        <v/>
      </c>
      <c r="P12" s="29" t="n"/>
    </row>
    <row r="13">
      <c r="A13" s="16" t="inlineStr"/>
      <c r="B13" s="16" t="inlineStr"/>
      <c r="C13" s="16" t="n"/>
      <c r="D13" s="16" t="n"/>
      <c r="E13" s="16" t="n"/>
      <c r="F13" s="17" t="n"/>
      <c r="G13" s="18" t="n"/>
      <c r="H13" s="19" t="n"/>
      <c r="I13" s="19" t="n"/>
      <c r="J13" s="25">
        <f>IF(B13="","",F13*H13*I13)</f>
        <v/>
      </c>
      <c r="K13" s="25">
        <f>IF(B13="","",J13-G13)</f>
        <v/>
      </c>
      <c r="L13" s="26">
        <f>IF(G13&gt;0,K13/G13,"-")</f>
        <v/>
      </c>
      <c r="M13" s="27">
        <f>IF(SUM($J$4:$J$100)&gt;0,J13/SUM($J$4:$J$100),0)</f>
        <v/>
      </c>
      <c r="N13" s="23" t="n"/>
      <c r="O13" s="28">
        <f>IF(N13="","",M13-N13)</f>
        <v/>
      </c>
      <c r="P13" s="29" t="n"/>
    </row>
    <row r="14">
      <c r="A14" s="16" t="inlineStr"/>
      <c r="B14" s="16" t="inlineStr"/>
      <c r="C14" s="16" t="n"/>
      <c r="D14" s="16" t="n"/>
      <c r="E14" s="16" t="n"/>
      <c r="F14" s="17" t="n"/>
      <c r="G14" s="18" t="n"/>
      <c r="H14" s="19" t="n"/>
      <c r="I14" s="19" t="n"/>
      <c r="J14" s="25">
        <f>IF(B14="","",F14*H14*I14)</f>
        <v/>
      </c>
      <c r="K14" s="25">
        <f>IF(B14="","",J14-G14)</f>
        <v/>
      </c>
      <c r="L14" s="26">
        <f>IF(G14&gt;0,K14/G14,"-")</f>
        <v/>
      </c>
      <c r="M14" s="27">
        <f>IF(SUM($J$4:$J$100)&gt;0,J14/SUM($J$4:$J$100),0)</f>
        <v/>
      </c>
      <c r="N14" s="23" t="n"/>
      <c r="O14" s="28">
        <f>IF(N14="","",M14-N14)</f>
        <v/>
      </c>
      <c r="P14" s="29" t="n"/>
    </row>
    <row r="15">
      <c r="A15" s="16" t="inlineStr"/>
      <c r="B15" s="16" t="inlineStr"/>
      <c r="C15" s="16" t="n"/>
      <c r="D15" s="16" t="n"/>
      <c r="E15" s="16" t="n"/>
      <c r="F15" s="17" t="n"/>
      <c r="G15" s="18" t="n"/>
      <c r="H15" s="19" t="n"/>
      <c r="I15" s="19" t="n"/>
      <c r="J15" s="25">
        <f>IF(B15="","",F15*H15*I15)</f>
        <v/>
      </c>
      <c r="K15" s="25">
        <f>IF(B15="","",J15-G15)</f>
        <v/>
      </c>
      <c r="L15" s="26">
        <f>IF(G15&gt;0,K15/G15,"-")</f>
        <v/>
      </c>
      <c r="M15" s="27">
        <f>IF(SUM($J$4:$J$100)&gt;0,J15/SUM($J$4:$J$100),0)</f>
        <v/>
      </c>
      <c r="N15" s="23" t="n"/>
      <c r="O15" s="28">
        <f>IF(N15="","",M15-N15)</f>
        <v/>
      </c>
      <c r="P15" s="29" t="n"/>
    </row>
    <row r="16">
      <c r="A16" s="16" t="inlineStr"/>
      <c r="B16" s="16" t="inlineStr"/>
      <c r="C16" s="16" t="n"/>
      <c r="D16" s="16" t="n"/>
      <c r="E16" s="16" t="n"/>
      <c r="F16" s="17" t="n"/>
      <c r="G16" s="18" t="n"/>
      <c r="H16" s="19" t="n"/>
      <c r="I16" s="19" t="n"/>
      <c r="J16" s="25">
        <f>IF(B16="","",F16*H16*I16)</f>
        <v/>
      </c>
      <c r="K16" s="25">
        <f>IF(B16="","",J16-G16)</f>
        <v/>
      </c>
      <c r="L16" s="26">
        <f>IF(G16&gt;0,K16/G16,"-")</f>
        <v/>
      </c>
      <c r="M16" s="27">
        <f>IF(SUM($J$4:$J$100)&gt;0,J16/SUM($J$4:$J$100),0)</f>
        <v/>
      </c>
      <c r="N16" s="23" t="n"/>
      <c r="O16" s="28">
        <f>IF(N16="","",M16-N16)</f>
        <v/>
      </c>
      <c r="P16" s="29" t="n"/>
    </row>
    <row r="17">
      <c r="A17" s="16" t="inlineStr"/>
      <c r="B17" s="16" t="inlineStr"/>
      <c r="C17" s="16" t="n"/>
      <c r="D17" s="16" t="n"/>
      <c r="E17" s="16" t="n"/>
      <c r="F17" s="17" t="n"/>
      <c r="G17" s="18" t="n"/>
      <c r="H17" s="19" t="n"/>
      <c r="I17" s="19" t="n"/>
      <c r="J17" s="25">
        <f>IF(B17="","",F17*H17*I17)</f>
        <v/>
      </c>
      <c r="K17" s="25">
        <f>IF(B17="","",J17-G17)</f>
        <v/>
      </c>
      <c r="L17" s="26">
        <f>IF(G17&gt;0,K17/G17,"-")</f>
        <v/>
      </c>
      <c r="M17" s="27">
        <f>IF(SUM($J$4:$J$100)&gt;0,J17/SUM($J$4:$J$100),0)</f>
        <v/>
      </c>
      <c r="N17" s="23" t="n"/>
      <c r="O17" s="28">
        <f>IF(N17="","",M17-N17)</f>
        <v/>
      </c>
      <c r="P17" s="29" t="n"/>
    </row>
    <row r="18">
      <c r="A18" s="16" t="inlineStr"/>
      <c r="B18" s="16" t="inlineStr"/>
      <c r="C18" s="16" t="n"/>
      <c r="D18" s="16" t="n"/>
      <c r="E18" s="16" t="n"/>
      <c r="F18" s="17" t="n"/>
      <c r="G18" s="18" t="n"/>
      <c r="H18" s="19" t="n"/>
      <c r="I18" s="19" t="n"/>
      <c r="J18" s="25">
        <f>IF(B18="","",F18*H18*I18)</f>
        <v/>
      </c>
      <c r="K18" s="25">
        <f>IF(B18="","",J18-G18)</f>
        <v/>
      </c>
      <c r="L18" s="26">
        <f>IF(G18&gt;0,K18/G18,"-")</f>
        <v/>
      </c>
      <c r="M18" s="27">
        <f>IF(SUM($J$4:$J$100)&gt;0,J18/SUM($J$4:$J$100),0)</f>
        <v/>
      </c>
      <c r="N18" s="23" t="n"/>
      <c r="O18" s="28">
        <f>IF(N18="","",M18-N18)</f>
        <v/>
      </c>
      <c r="P18" s="29" t="n"/>
    </row>
    <row r="19">
      <c r="A19" s="16" t="inlineStr"/>
      <c r="B19" s="16" t="inlineStr"/>
      <c r="C19" s="16" t="n"/>
      <c r="D19" s="16" t="n"/>
      <c r="E19" s="16" t="n"/>
      <c r="F19" s="17" t="n"/>
      <c r="G19" s="18" t="n"/>
      <c r="H19" s="19" t="n"/>
      <c r="I19" s="19" t="n"/>
      <c r="J19" s="25">
        <f>IF(B19="","",F19*H19*I19)</f>
        <v/>
      </c>
      <c r="K19" s="25">
        <f>IF(B19="","",J19-G19)</f>
        <v/>
      </c>
      <c r="L19" s="26">
        <f>IF(G19&gt;0,K19/G19,"-")</f>
        <v/>
      </c>
      <c r="M19" s="27">
        <f>IF(SUM($J$4:$J$100)&gt;0,J19/SUM($J$4:$J$100),0)</f>
        <v/>
      </c>
      <c r="N19" s="23" t="n"/>
      <c r="O19" s="28">
        <f>IF(N19="","",M19-N19)</f>
        <v/>
      </c>
      <c r="P19" s="29" t="n"/>
    </row>
    <row r="20">
      <c r="A20" s="16" t="inlineStr"/>
      <c r="B20" s="16" t="inlineStr"/>
      <c r="C20" s="16" t="n"/>
      <c r="D20" s="16" t="n"/>
      <c r="E20" s="16" t="n"/>
      <c r="F20" s="17" t="n"/>
      <c r="G20" s="18" t="n"/>
      <c r="H20" s="19" t="n"/>
      <c r="I20" s="19" t="n"/>
      <c r="J20" s="25">
        <f>IF(B20="","",F20*H20*I20)</f>
        <v/>
      </c>
      <c r="K20" s="25">
        <f>IF(B20="","",J20-G20)</f>
        <v/>
      </c>
      <c r="L20" s="26">
        <f>IF(G20&gt;0,K20/G20,"-")</f>
        <v/>
      </c>
      <c r="M20" s="27">
        <f>IF(SUM($J$4:$J$100)&gt;0,J20/SUM($J$4:$J$100),0)</f>
        <v/>
      </c>
      <c r="N20" s="23" t="n"/>
      <c r="O20" s="28">
        <f>IF(N20="","",M20-N20)</f>
        <v/>
      </c>
      <c r="P20" s="29" t="n"/>
    </row>
    <row r="21">
      <c r="A21" s="16" t="inlineStr"/>
      <c r="B21" s="16" t="inlineStr"/>
      <c r="C21" s="16" t="n"/>
      <c r="D21" s="16" t="n"/>
      <c r="E21" s="16" t="n"/>
      <c r="F21" s="17" t="n"/>
      <c r="G21" s="18" t="n"/>
      <c r="H21" s="19" t="n"/>
      <c r="I21" s="19" t="n"/>
      <c r="J21" s="25">
        <f>IF(B21="","",F21*H21*I21)</f>
        <v/>
      </c>
      <c r="K21" s="25">
        <f>IF(B21="","",J21-G21)</f>
        <v/>
      </c>
      <c r="L21" s="26">
        <f>IF(G21&gt;0,K21/G21,"-")</f>
        <v/>
      </c>
      <c r="M21" s="27">
        <f>IF(SUM($J$4:$J$100)&gt;0,J21/SUM($J$4:$J$100),0)</f>
        <v/>
      </c>
      <c r="N21" s="23" t="n"/>
      <c r="O21" s="28">
        <f>IF(N21="","",M21-N21)</f>
        <v/>
      </c>
      <c r="P21" s="29" t="n"/>
    </row>
    <row r="22">
      <c r="A22" s="16" t="inlineStr"/>
      <c r="B22" s="16" t="inlineStr"/>
      <c r="C22" s="16" t="n"/>
      <c r="D22" s="16" t="n"/>
      <c r="E22" s="16" t="n"/>
      <c r="F22" s="17" t="n"/>
      <c r="G22" s="18" t="n"/>
      <c r="H22" s="19" t="n"/>
      <c r="I22" s="19" t="n"/>
      <c r="J22" s="25">
        <f>IF(B22="","",F22*H22*I22)</f>
        <v/>
      </c>
      <c r="K22" s="25">
        <f>IF(B22="","",J22-G22)</f>
        <v/>
      </c>
      <c r="L22" s="26">
        <f>IF(G22&gt;0,K22/G22,"-")</f>
        <v/>
      </c>
      <c r="M22" s="27">
        <f>IF(SUM($J$4:$J$100)&gt;0,J22/SUM($J$4:$J$100),0)</f>
        <v/>
      </c>
      <c r="N22" s="23" t="n"/>
      <c r="O22" s="28">
        <f>IF(N22="","",M22-N22)</f>
        <v/>
      </c>
      <c r="P22" s="29" t="n"/>
    </row>
    <row r="23">
      <c r="A23" s="16" t="inlineStr"/>
      <c r="B23" s="16" t="inlineStr"/>
      <c r="C23" s="16" t="n"/>
      <c r="D23" s="16" t="n"/>
      <c r="E23" s="16" t="n"/>
      <c r="F23" s="17" t="n"/>
      <c r="G23" s="18" t="n"/>
      <c r="H23" s="19" t="n"/>
      <c r="I23" s="19" t="n"/>
      <c r="J23" s="25">
        <f>IF(B23="","",F23*H23*I23)</f>
        <v/>
      </c>
      <c r="K23" s="25">
        <f>IF(B23="","",J23-G23)</f>
        <v/>
      </c>
      <c r="L23" s="26">
        <f>IF(G23&gt;0,K23/G23,"-")</f>
        <v/>
      </c>
      <c r="M23" s="27">
        <f>IF(SUM($J$4:$J$100)&gt;0,J23/SUM($J$4:$J$100),0)</f>
        <v/>
      </c>
      <c r="N23" s="23" t="n"/>
      <c r="O23" s="28">
        <f>IF(N23="","",M23-N23)</f>
        <v/>
      </c>
      <c r="P23" s="29" t="n"/>
    </row>
    <row r="24">
      <c r="A24" s="16" t="inlineStr"/>
      <c r="B24" s="16" t="inlineStr"/>
      <c r="C24" s="16" t="n"/>
      <c r="D24" s="16" t="n"/>
      <c r="E24" s="16" t="n"/>
      <c r="F24" s="17" t="n"/>
      <c r="G24" s="18" t="n"/>
      <c r="H24" s="19" t="n"/>
      <c r="I24" s="19" t="n"/>
      <c r="J24" s="25">
        <f>IF(B24="","",F24*H24*I24)</f>
        <v/>
      </c>
      <c r="K24" s="25">
        <f>IF(B24="","",J24-G24)</f>
        <v/>
      </c>
      <c r="L24" s="26">
        <f>IF(G24&gt;0,K24/G24,"-")</f>
        <v/>
      </c>
      <c r="M24" s="27">
        <f>IF(SUM($J$4:$J$100)&gt;0,J24/SUM($J$4:$J$100),0)</f>
        <v/>
      </c>
      <c r="N24" s="23" t="n"/>
      <c r="O24" s="28">
        <f>IF(N24="","",M24-N24)</f>
        <v/>
      </c>
      <c r="P24" s="2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7" customWidth="1" min="2" max="2"/>
    <col width="19" customWidth="1" min="3" max="3"/>
    <col width="19" customWidth="1" min="4" max="4"/>
    <col width="17" customWidth="1" min="5" max="5"/>
    <col width="17" customWidth="1" min="6" max="6"/>
    <col width="52" customWidth="1" min="7" max="7"/>
    <col width="22" customWidth="1" min="8" max="8"/>
    <col width="19" customWidth="1" min="9" max="9"/>
    <col width="19" customWidth="1" min="10" max="10"/>
    <col width="19" customWidth="1" min="11" max="11"/>
    <col width="73" customWidth="1" min="12" max="12"/>
  </cols>
  <sheetData>
    <row r="1">
      <c r="A1" s="1" t="inlineStr">
        <is>
          <t>월 적립식 투자 배분안 계산기</t>
        </is>
      </c>
    </row>
    <row r="2"/>
    <row r="3">
      <c r="A3" s="2" t="inlineStr">
        <is>
          <t>이번 달 투자 가능 금액</t>
        </is>
      </c>
      <c r="C3" s="30" t="n">
        <v>500000</v>
      </c>
    </row>
    <row r="4">
      <c r="A4" s="2" t="inlineStr">
        <is>
          <t>현금 유보 금액</t>
        </is>
      </c>
      <c r="C4" s="30" t="n">
        <v>0</v>
      </c>
    </row>
    <row r="5">
      <c r="A5" s="2" t="inlineStr">
        <is>
          <t>실제 배분 대상 금액</t>
        </is>
      </c>
      <c r="C5" s="31">
        <f>C3-C4</f>
        <v/>
      </c>
    </row>
    <row r="6">
      <c r="A6" s="2" t="inlineStr">
        <is>
          <t>배분 후 예상 총자산</t>
        </is>
      </c>
      <c r="C6" s="31">
        <f>SUM(포트폴리오!$J$4:$J$100)+C5</f>
        <v/>
      </c>
    </row>
    <row r="7">
      <c r="A7" s="32" t="inlineStr">
        <is>
          <t>※ 목표 비중 대비 현재 부족한 자산을 기준으로 월 투자금을 최적 배분합니다.</t>
        </is>
      </c>
    </row>
    <row r="8"/>
    <row r="9">
      <c r="A9" s="14" t="inlineStr">
        <is>
          <t>계좌</t>
        </is>
      </c>
      <c r="B9" s="14" t="inlineStr">
        <is>
          <t>티커</t>
        </is>
      </c>
      <c r="C9" s="14" t="inlineStr">
        <is>
          <t>종목명</t>
        </is>
      </c>
      <c r="D9" s="14" t="inlineStr">
        <is>
          <t>현재 평가액</t>
        </is>
      </c>
      <c r="E9" s="14" t="inlineStr">
        <is>
          <t>현재 비중</t>
        </is>
      </c>
      <c r="F9" s="14" t="inlineStr">
        <is>
          <t>목표 비중</t>
        </is>
      </c>
      <c r="G9" s="14" t="inlineStr">
        <is>
          <t>정규화 비중</t>
        </is>
      </c>
      <c r="H9" s="14" t="inlineStr">
        <is>
          <t>목표 평가액(투자후)</t>
        </is>
      </c>
      <c r="I9" s="14" t="inlineStr">
        <is>
          <t>목표 대비 부족액</t>
        </is>
      </c>
      <c r="J9" s="14" t="inlineStr">
        <is>
          <t>권장 투자 금액</t>
        </is>
      </c>
      <c r="K9" s="14" t="inlineStr">
        <is>
          <t>예상 투자후 비중</t>
        </is>
      </c>
      <c r="L9" s="14" t="inlineStr">
        <is>
          <t>비고</t>
        </is>
      </c>
    </row>
    <row r="10">
      <c r="A10" s="33">
        <f>포트폴리오!A4</f>
        <v/>
      </c>
      <c r="B10" s="33">
        <f>포트폴리오!B4</f>
        <v/>
      </c>
      <c r="C10" s="29">
        <f>포트폴리오!C4</f>
        <v/>
      </c>
      <c r="D10" s="25">
        <f>포트폴리오!J4</f>
        <v/>
      </c>
      <c r="E10" s="27">
        <f>포트폴리오!M4</f>
        <v/>
      </c>
      <c r="F10" s="27">
        <f>포트폴리오!N4</f>
        <v/>
      </c>
      <c r="G10" s="27">
        <f>IF(SUM($F$10:$F$20)&gt;0, F10/SUM($F$10:$F$20), 0)</f>
        <v/>
      </c>
      <c r="H10" s="25">
        <f>G10*$C$6</f>
        <v/>
      </c>
      <c r="I10" s="25">
        <f>MAX(0, H10-D10)</f>
        <v/>
      </c>
      <c r="J10" s="20">
        <f>IF(SUM($I$10:$I$20)&gt;0, ROUND($C$5*(I10/SUM($I$10:$I$20)), -2), 0)</f>
        <v/>
      </c>
      <c r="K10" s="27">
        <f>(D10+J10)/$C$6</f>
        <v/>
      </c>
      <c r="L10" s="33">
        <f>IF(H10&lt;=D10, "목표 초과 (매수 불필요)", IF(J10&gt;0, "권장 매수", "-"))</f>
        <v/>
      </c>
    </row>
    <row r="11">
      <c r="A11" s="33">
        <f>포트폴리오!A5</f>
        <v/>
      </c>
      <c r="B11" s="33">
        <f>포트폴리오!B5</f>
        <v/>
      </c>
      <c r="C11" s="29">
        <f>포트폴리오!C5</f>
        <v/>
      </c>
      <c r="D11" s="25">
        <f>포트폴리오!J5</f>
        <v/>
      </c>
      <c r="E11" s="27">
        <f>포트폴리오!M5</f>
        <v/>
      </c>
      <c r="F11" s="27">
        <f>포트폴리오!N5</f>
        <v/>
      </c>
      <c r="G11" s="27">
        <f>IF(SUM($F$10:$F$20)&gt;0, F11/SUM($F$10:$F$20), 0)</f>
        <v/>
      </c>
      <c r="H11" s="25">
        <f>G11*$C$6</f>
        <v/>
      </c>
      <c r="I11" s="25">
        <f>MAX(0, H11-D11)</f>
        <v/>
      </c>
      <c r="J11" s="20">
        <f>IF(SUM($I$10:$I$20)&gt;0, ROUND($C$5*(I11/SUM($I$10:$I$20)), -2), 0)</f>
        <v/>
      </c>
      <c r="K11" s="27">
        <f>(D11+J11)/$C$6</f>
        <v/>
      </c>
      <c r="L11" s="33">
        <f>IF(H11&lt;=D11, "목표 초과 (매수 불필요)", IF(J11&gt;0, "권장 매수", "-"))</f>
        <v/>
      </c>
    </row>
    <row r="12">
      <c r="A12" s="33">
        <f>포트폴리오!A6</f>
        <v/>
      </c>
      <c r="B12" s="33">
        <f>포트폴리오!B6</f>
        <v/>
      </c>
      <c r="C12" s="29">
        <f>포트폴리오!C6</f>
        <v/>
      </c>
      <c r="D12" s="25">
        <f>포트폴리오!J6</f>
        <v/>
      </c>
      <c r="E12" s="27">
        <f>포트폴리오!M6</f>
        <v/>
      </c>
      <c r="F12" s="27">
        <f>포트폴리오!N6</f>
        <v/>
      </c>
      <c r="G12" s="27">
        <f>IF(SUM($F$10:$F$20)&gt;0, F12/SUM($F$10:$F$20), 0)</f>
        <v/>
      </c>
      <c r="H12" s="25">
        <f>G12*$C$6</f>
        <v/>
      </c>
      <c r="I12" s="25">
        <f>MAX(0, H12-D12)</f>
        <v/>
      </c>
      <c r="J12" s="20">
        <f>IF(SUM($I$10:$I$20)&gt;0, ROUND($C$5*(I12/SUM($I$10:$I$20)), -2), 0)</f>
        <v/>
      </c>
      <c r="K12" s="27">
        <f>(D12+J12)/$C$6</f>
        <v/>
      </c>
      <c r="L12" s="33">
        <f>IF(H12&lt;=D12, "목표 초과 (매수 불필요)", IF(J12&gt;0, "권장 매수", "-"))</f>
        <v/>
      </c>
    </row>
    <row r="13">
      <c r="A13" s="33">
        <f>포트폴리오!A7</f>
        <v/>
      </c>
      <c r="B13" s="33">
        <f>포트폴리오!B7</f>
        <v/>
      </c>
      <c r="C13" s="29">
        <f>포트폴리오!C7</f>
        <v/>
      </c>
      <c r="D13" s="25">
        <f>포트폴리오!J7</f>
        <v/>
      </c>
      <c r="E13" s="27">
        <f>포트폴리오!M7</f>
        <v/>
      </c>
      <c r="F13" s="27">
        <f>포트폴리오!N7</f>
        <v/>
      </c>
      <c r="G13" s="27">
        <f>IF(SUM($F$10:$F$20)&gt;0, F13/SUM($F$10:$F$20), 0)</f>
        <v/>
      </c>
      <c r="H13" s="25">
        <f>G13*$C$6</f>
        <v/>
      </c>
      <c r="I13" s="25">
        <f>MAX(0, H13-D13)</f>
        <v/>
      </c>
      <c r="J13" s="20">
        <f>IF(SUM($I$10:$I$20)&gt;0, ROUND($C$5*(I13/SUM($I$10:$I$20)), -2), 0)</f>
        <v/>
      </c>
      <c r="K13" s="27">
        <f>(D13+J13)/$C$6</f>
        <v/>
      </c>
      <c r="L13" s="33">
        <f>IF(H13&lt;=D13, "목표 초과 (매수 불필요)", IF(J13&gt;0, "권장 매수", "-"))</f>
        <v/>
      </c>
    </row>
    <row r="14">
      <c r="A14" s="33">
        <f>포트폴리오!A8</f>
        <v/>
      </c>
      <c r="B14" s="33">
        <f>포트폴리오!B8</f>
        <v/>
      </c>
      <c r="C14" s="29">
        <f>포트폴리오!C8</f>
        <v/>
      </c>
      <c r="D14" s="25">
        <f>포트폴리오!J8</f>
        <v/>
      </c>
      <c r="E14" s="27">
        <f>포트폴리오!M8</f>
        <v/>
      </c>
      <c r="F14" s="27">
        <f>포트폴리오!N8</f>
        <v/>
      </c>
      <c r="G14" s="27">
        <f>IF(SUM($F$10:$F$20)&gt;0, F14/SUM($F$10:$F$20), 0)</f>
        <v/>
      </c>
      <c r="H14" s="25">
        <f>G14*$C$6</f>
        <v/>
      </c>
      <c r="I14" s="25">
        <f>MAX(0, H14-D14)</f>
        <v/>
      </c>
      <c r="J14" s="20">
        <f>IF(SUM($I$10:$I$20)&gt;0, ROUND($C$5*(I14/SUM($I$10:$I$20)), -2), 0)</f>
        <v/>
      </c>
      <c r="K14" s="27">
        <f>(D14+J14)/$C$6</f>
        <v/>
      </c>
      <c r="L14" s="33">
        <f>IF(H14&lt;=D14, "목표 초과 (매수 불필요)", IF(J14&gt;0, "권장 매수", "-"))</f>
        <v/>
      </c>
    </row>
    <row r="15">
      <c r="C15" s="7" t="inlineStr">
        <is>
          <t>합계</t>
        </is>
      </c>
      <c r="D15" s="34">
        <f>SUM(D10:D14)</f>
        <v/>
      </c>
      <c r="J15" s="34">
        <f>SUM(J10:J14)</f>
        <v/>
      </c>
      <c r="L15" s="7">
        <f>IF(J15&lt;=C5, "✅ 배분 한도 준수", "⚠️ 투자금 초과")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2" customWidth="1" min="4" max="4"/>
    <col width="12" customWidth="1" min="5" max="5"/>
    <col width="25" customWidth="1" min="6" max="6"/>
    <col width="28" customWidth="1" min="7" max="7"/>
  </cols>
  <sheetData>
    <row r="1">
      <c r="A1" s="1" t="inlineStr">
        <is>
          <t>계좌별 현금 및 예수금 잔액 원장</t>
        </is>
      </c>
    </row>
    <row r="2"/>
    <row r="3">
      <c r="A3" s="14" t="inlineStr">
        <is>
          <t>계좌명</t>
        </is>
      </c>
      <c r="B3" s="14" t="inlineStr">
        <is>
          <t>자산 구분</t>
        </is>
      </c>
      <c r="C3" s="14" t="inlineStr">
        <is>
          <t>통화</t>
        </is>
      </c>
      <c r="D3" s="14" t="inlineStr">
        <is>
          <t>잔액</t>
        </is>
      </c>
      <c r="E3" s="14" t="inlineStr">
        <is>
          <t>기준 환율</t>
        </is>
      </c>
      <c r="F3" s="14" t="inlineStr">
        <is>
          <t>기준 통화 환산액(KRW)</t>
        </is>
      </c>
      <c r="G3" s="14" t="inlineStr">
        <is>
          <t>기준일/메모</t>
        </is>
      </c>
    </row>
    <row r="4">
      <c r="A4" s="15" t="inlineStr">
        <is>
          <t>ISA</t>
        </is>
      </c>
      <c r="B4" s="15" t="inlineStr">
        <is>
          <t>예수금</t>
        </is>
      </c>
      <c r="C4" s="15" t="inlineStr">
        <is>
          <t>KRW</t>
        </is>
      </c>
      <c r="D4" s="19" t="n">
        <v>250000</v>
      </c>
      <c r="E4" s="19" t="n">
        <v>1</v>
      </c>
      <c r="F4" s="20">
        <f>D4*E4</f>
        <v/>
      </c>
      <c r="G4" s="16" t="inlineStr">
        <is>
          <t>배당금 및 대기자금</t>
        </is>
      </c>
    </row>
    <row r="5">
      <c r="A5" s="15" t="inlineStr">
        <is>
          <t>CMA</t>
        </is>
      </c>
      <c r="B5" s="15" t="inlineStr">
        <is>
          <t>CMA 잔액</t>
        </is>
      </c>
      <c r="C5" s="15" t="inlineStr">
        <is>
          <t>KRW</t>
        </is>
      </c>
      <c r="D5" s="19" t="n">
        <v>1500000</v>
      </c>
      <c r="E5" s="19" t="n">
        <v>1</v>
      </c>
      <c r="F5" s="20">
        <f>D5*E5</f>
        <v/>
      </c>
      <c r="G5" s="16" t="inlineStr">
        <is>
          <t>비상금 및 월 투자 유보금</t>
        </is>
      </c>
    </row>
    <row r="6">
      <c r="A6" s="15" t="inlineStr">
        <is>
          <t>해외계좌</t>
        </is>
      </c>
      <c r="B6" s="15" t="inlineStr">
        <is>
          <t>달러 예수금</t>
        </is>
      </c>
      <c r="C6" s="15" t="inlineStr">
        <is>
          <t>USD</t>
        </is>
      </c>
      <c r="D6" s="19" t="n">
        <v>350</v>
      </c>
      <c r="E6" s="19" t="n">
        <v>1380</v>
      </c>
      <c r="F6" s="20">
        <f>D6*E6</f>
        <v/>
      </c>
      <c r="G6" s="16" t="inlineStr">
        <is>
          <t>해외 매수 대기금</t>
        </is>
      </c>
    </row>
    <row r="7">
      <c r="A7" s="15" t="inlineStr">
        <is>
          <t>일반/현금</t>
        </is>
      </c>
      <c r="B7" s="15" t="inlineStr">
        <is>
          <t>원화 현금</t>
        </is>
      </c>
      <c r="C7" s="15" t="inlineStr">
        <is>
          <t>KRW</t>
        </is>
      </c>
      <c r="D7" s="19" t="n">
        <v>500000</v>
      </c>
      <c r="E7" s="19" t="n">
        <v>1</v>
      </c>
      <c r="F7" s="20">
        <f>D7*E7</f>
        <v/>
      </c>
      <c r="G7" s="16" t="inlineStr">
        <is>
          <t>파킹통장 잔액</t>
        </is>
      </c>
    </row>
    <row r="8">
      <c r="A8" s="16" t="n"/>
      <c r="B8" s="16" t="n"/>
      <c r="C8" s="16" t="n"/>
      <c r="D8" s="16" t="n"/>
      <c r="E8" s="16" t="n"/>
      <c r="F8" s="25">
        <f>IF(D8="","",D8*IF(E8="",1,E8))</f>
        <v/>
      </c>
      <c r="G8" s="16" t="n"/>
    </row>
    <row r="9">
      <c r="A9" s="16" t="n"/>
      <c r="B9" s="16" t="n"/>
      <c r="C9" s="16" t="n"/>
      <c r="D9" s="16" t="n"/>
      <c r="E9" s="16" t="n"/>
      <c r="F9" s="25">
        <f>IF(D9="","",D9*IF(E9="",1,E9))</f>
        <v/>
      </c>
      <c r="G9" s="16" t="n"/>
    </row>
    <row r="10">
      <c r="A10" s="16" t="n"/>
      <c r="B10" s="16" t="n"/>
      <c r="C10" s="16" t="n"/>
      <c r="D10" s="16" t="n"/>
      <c r="E10" s="16" t="n"/>
      <c r="F10" s="25">
        <f>IF(D10="","",D10*IF(E10="",1,E10))</f>
        <v/>
      </c>
      <c r="G10" s="16" t="n"/>
    </row>
    <row r="11">
      <c r="A11" s="16" t="n"/>
      <c r="B11" s="16" t="n"/>
      <c r="C11" s="16" t="n"/>
      <c r="D11" s="16" t="n"/>
      <c r="E11" s="16" t="n"/>
      <c r="F11" s="25">
        <f>IF(D11="","",D11*IF(E11="",1,E11))</f>
        <v/>
      </c>
      <c r="G11" s="16" t="n"/>
    </row>
    <row r="12">
      <c r="A12" s="16" t="n"/>
      <c r="B12" s="16" t="n"/>
      <c r="C12" s="16" t="n"/>
      <c r="D12" s="16" t="n"/>
      <c r="E12" s="16" t="n"/>
      <c r="F12" s="25">
        <f>IF(D12="","",D12*IF(E12="",1,E12))</f>
        <v/>
      </c>
      <c r="G12" s="16" t="n"/>
    </row>
    <row r="13">
      <c r="A13" s="16" t="n"/>
      <c r="B13" s="16" t="n"/>
      <c r="C13" s="16" t="n"/>
      <c r="D13" s="16" t="n"/>
      <c r="E13" s="16" t="n"/>
      <c r="F13" s="25">
        <f>IF(D13="","",D13*IF(E13="",1,E13))</f>
        <v/>
      </c>
      <c r="G13" s="16" t="n"/>
    </row>
    <row r="14">
      <c r="A14" s="16" t="n"/>
      <c r="B14" s="16" t="n"/>
      <c r="C14" s="16" t="n"/>
      <c r="D14" s="16" t="n"/>
      <c r="E14" s="16" t="n"/>
      <c r="F14" s="25">
        <f>IF(D14="","",D14*IF(E14="",1,E14))</f>
        <v/>
      </c>
      <c r="G14" s="16" t="n"/>
    </row>
    <row r="15">
      <c r="A15" s="16" t="n"/>
      <c r="B15" s="16" t="n"/>
      <c r="C15" s="16" t="n"/>
      <c r="D15" s="16" t="n"/>
      <c r="E15" s="16" t="n"/>
      <c r="F15" s="25">
        <f>IF(D15="","",D15*IF(E15="",1,E15))</f>
        <v/>
      </c>
      <c r="G15" s="16" t="n"/>
    </row>
    <row r="16">
      <c r="A16" s="16" t="n"/>
      <c r="B16" s="16" t="n"/>
      <c r="C16" s="16" t="n"/>
      <c r="D16" s="16" t="n"/>
      <c r="E16" s="16" t="n"/>
      <c r="F16" s="25">
        <f>IF(D16="","",D16*IF(E16="",1,E16))</f>
        <v/>
      </c>
      <c r="G16" s="16" t="n"/>
    </row>
    <row r="17">
      <c r="A17" s="16" t="n"/>
      <c r="B17" s="16" t="n"/>
      <c r="C17" s="16" t="n"/>
      <c r="D17" s="16" t="n"/>
      <c r="E17" s="16" t="n"/>
      <c r="F17" s="25">
        <f>IF(D17="","",D17*IF(E17="",1,E17))</f>
        <v/>
      </c>
      <c r="G17" s="16" t="n"/>
    </row>
    <row r="18">
      <c r="A18" s="16" t="n"/>
      <c r="B18" s="16" t="n"/>
      <c r="C18" s="16" t="n"/>
      <c r="D18" s="16" t="n"/>
      <c r="E18" s="16" t="n"/>
      <c r="F18" s="25">
        <f>IF(D18="","",D18*IF(E18="",1,E18))</f>
        <v/>
      </c>
      <c r="G18" s="16" t="n"/>
    </row>
    <row r="19">
      <c r="A19" s="16" t="n"/>
      <c r="B19" s="16" t="n"/>
      <c r="C19" s="16" t="n"/>
      <c r="D19" s="16" t="n"/>
      <c r="E19" s="16" t="n"/>
      <c r="F19" s="25">
        <f>IF(D19="","",D19*IF(E19="",1,E19))</f>
        <v/>
      </c>
      <c r="G19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  <col width="19" customWidth="1" min="4" max="4"/>
    <col width="15" customWidth="1" min="5" max="5"/>
  </cols>
  <sheetData>
    <row r="1">
      <c r="A1" s="1" t="inlineStr">
        <is>
          <t>총자산 일별/기간별 스냅샷 기록</t>
        </is>
      </c>
    </row>
    <row r="2"/>
    <row r="3">
      <c r="A3" s="14" t="inlineStr">
        <is>
          <t>기준일시</t>
        </is>
      </c>
      <c r="B3" s="14" t="inlineStr">
        <is>
          <t>투자 자산 평가액</t>
        </is>
      </c>
      <c r="C3" s="14" t="inlineStr">
        <is>
          <t>현금성 자산</t>
        </is>
      </c>
      <c r="D3" s="14" t="inlineStr">
        <is>
          <t>총자산</t>
        </is>
      </c>
      <c r="E3" s="14" t="inlineStr">
        <is>
          <t>데이터 상태</t>
        </is>
      </c>
    </row>
    <row r="4">
      <c r="A4" s="15" t="inlineStr">
        <is>
          <t>2026-09-01</t>
        </is>
      </c>
      <c r="B4" s="18" t="n">
        <v>16800000</v>
      </c>
      <c r="C4" s="18" t="n">
        <v>2600000</v>
      </c>
      <c r="D4" s="30" t="n">
        <v>19400000</v>
      </c>
      <c r="E4" s="15" t="inlineStr">
        <is>
          <t>정상</t>
        </is>
      </c>
    </row>
    <row r="5">
      <c r="A5" s="15" t="inlineStr">
        <is>
          <t>2026-09-15</t>
        </is>
      </c>
      <c r="B5" s="18" t="n">
        <v>17200000</v>
      </c>
      <c r="C5" s="18" t="n">
        <v>2550000</v>
      </c>
      <c r="D5" s="30" t="n">
        <v>19750000</v>
      </c>
      <c r="E5" s="15" t="inlineStr">
        <is>
          <t>정상</t>
        </is>
      </c>
    </row>
    <row r="6">
      <c r="A6" s="15" t="inlineStr">
        <is>
          <t>2026-10-01</t>
        </is>
      </c>
      <c r="B6" s="18" t="n">
        <v>18100000</v>
      </c>
      <c r="C6" s="18" t="n">
        <v>2700000</v>
      </c>
      <c r="D6" s="30" t="n">
        <v>20800000</v>
      </c>
      <c r="E6" s="15" t="inlineStr">
        <is>
          <t>정상</t>
        </is>
      </c>
    </row>
    <row r="7">
      <c r="A7" s="15" t="inlineStr">
        <is>
          <t>2026-10-08</t>
        </is>
      </c>
      <c r="B7" s="18" t="n">
        <v>19355000</v>
      </c>
      <c r="C7" s="18" t="n">
        <v>2733000</v>
      </c>
      <c r="D7" s="30" t="n">
        <v>22088000</v>
      </c>
      <c r="E7" s="15" t="inlineStr">
        <is>
          <t>정상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52" customWidth="1" min="2" max="2"/>
  </cols>
  <sheetData>
    <row r="1">
      <c r="A1" s="1" t="inlineStr">
        <is>
          <t>포트폴리오 환경 설정</t>
        </is>
      </c>
    </row>
    <row r="2">
      <c r="A2" s="5" t="inlineStr">
        <is>
          <t>기준 통화</t>
        </is>
      </c>
      <c r="B2" s="16" t="inlineStr">
        <is>
          <t>KRW</t>
        </is>
      </c>
    </row>
    <row r="3">
      <c r="A3" s="5" t="inlineStr">
        <is>
          <t>목표 비중 분모 기준</t>
        </is>
      </c>
      <c r="B3" s="16" t="inlineStr">
        <is>
          <t>투자 자산만</t>
        </is>
      </c>
    </row>
    <row r="4">
      <c r="A4" s="5" t="inlineStr">
        <is>
          <t>시세 데이터 공급원</t>
        </is>
      </c>
      <c r="B4" s="16" t="inlineStr">
        <is>
          <t>Google 스프레드시트 (GOOGLEFINANCE / Apps Script)</t>
        </is>
      </c>
    </row>
    <row r="5">
      <c r="A5" s="5" t="inlineStr">
        <is>
          <t>지원 계좌 목록</t>
        </is>
      </c>
      <c r="B5" s="16" t="inlineStr">
        <is>
          <t>ISA, 금현물계좌, CMA, 해외계좌, 일반/현금</t>
        </is>
      </c>
    </row>
    <row r="6">
      <c r="A6" s="5" t="inlineStr">
        <is>
          <t>지원 자산 유형</t>
        </is>
      </c>
      <c r="B6" s="16" t="inlineStr">
        <is>
          <t>주식, ETF, 금, 현금, 기타</t>
        </is>
      </c>
    </row>
    <row r="7">
      <c r="A7" s="5" t="inlineStr">
        <is>
          <t>월 배분 주문 단위</t>
        </is>
      </c>
      <c r="B7" s="16" t="inlineStr">
        <is>
          <t>100원 단위 반올림 / 정수주</t>
        </is>
      </c>
    </row>
    <row r="8">
      <c r="A8" s="5" t="inlineStr">
        <is>
          <t>마지막 갱신 시각</t>
        </is>
      </c>
      <c r="B8" s="16" t="inlineStr">
        <is>
          <t>2026-10-08 23:15:00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2026-10-08T14:19:58Z</dcterms:created>
  <dcterms:modified xmlns:dcterms="http://purl.org/dc/terms/" xmlns:xsi="http://www.w3.org/2001/XMLSchema-instance" xsi:type="dcterms:W3CDTF">2026-10-08T14:19:58Z</dcterms:modified>
</cp:coreProperties>
</file>